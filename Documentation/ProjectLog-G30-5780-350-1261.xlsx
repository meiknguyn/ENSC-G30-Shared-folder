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guye\Downloads\"/>
    </mc:Choice>
  </mc:AlternateContent>
  <xr:revisionPtr revIDLastSave="0" documentId="13_ncr:1_{B423C8A0-C685-44BC-A00E-84944E457301}" xr6:coauthVersionLast="47" xr6:coauthVersionMax="47" xr10:uidLastSave="{00000000-0000-0000-0000-000000000000}"/>
  <workbookProtection workbookAlgorithmName="SHA-512" workbookHashValue="uphip+fyQmgTbQWVslgKndYGTCUT2nMCnU8pTyuiPxh9t3MkaNQeLeeV1eDZUH8uYM8JtsIZJzZApwnnbRUEcA==" workbookSaltValue="PVE5+bPUyqyV9jE5EaqSxw==" workbookSpinCount="100000" lockStructure="1"/>
  <bookViews>
    <workbookView xWindow="7860" yWindow="1750" windowWidth="30720" windowHeight="15370" activeTab="1" xr2:uid="{5C666647-60C4-4C14-A5E1-8900F85EBB7F}"/>
  </bookViews>
  <sheets>
    <sheet name="DP1.0" sheetId="5" r:id="rId1"/>
    <sheet name="DP1.1" sheetId="6" r:id="rId2"/>
    <sheet name="DP1.2" sheetId="7" r:id="rId3"/>
    <sheet name="DP2.0" sheetId="9" r:id="rId4"/>
    <sheet name="DP2.1" sheetId="10" r:id="rId5"/>
    <sheet name="FP" sheetId="11"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9" i="11" l="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80" i="11" s="1"/>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80" i="10" l="1"/>
  <c r="H80" i="9"/>
  <c r="H80" i="7"/>
  <c r="H80" i="6"/>
  <c r="H80" i="5"/>
</calcChain>
</file>

<file path=xl/sharedStrings.xml><?xml version="1.0" encoding="utf-8"?>
<sst xmlns="http://schemas.openxmlformats.org/spreadsheetml/2006/main" count="107" uniqueCount="33">
  <si>
    <t>last  4 digits</t>
  </si>
  <si>
    <t>date</t>
  </si>
  <si>
    <t>starttime</t>
  </si>
  <si>
    <t>endtime</t>
  </si>
  <si>
    <t>Group Number:</t>
  </si>
  <si>
    <t>Full Student Number:</t>
  </si>
  <si>
    <t>Student Name:</t>
  </si>
  <si>
    <t>rsvd</t>
  </si>
  <si>
    <t>Duration</t>
  </si>
  <si>
    <t>Gxx</t>
  </si>
  <si>
    <r>
      <t xml:space="preserve">description of Micro-Activity </t>
    </r>
    <r>
      <rPr>
        <sz val="11"/>
        <color theme="1"/>
        <rFont val="Times New Roman"/>
        <family val="1"/>
      </rPr>
      <t>( include relevant facts and details)</t>
    </r>
  </si>
  <si>
    <t>Members Relative Contribution:
(estimate your contribution to this phase of the project)</t>
  </si>
  <si>
    <t>%</t>
  </si>
  <si>
    <r>
      <t xml:space="preserve">Activity Log for </t>
    </r>
    <r>
      <rPr>
        <b/>
        <sz val="36"/>
        <color rgb="FF7030A0"/>
        <rFont val="Times New Roman"/>
        <family val="1"/>
      </rPr>
      <t>First Design Project 1.0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</si>
  <si>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First Design Project 1.1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</si>
  <si>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First Design Project 1.2</t>
    </r>
    <r>
      <rPr>
        <sz val="36"/>
        <color rgb="FFFF0000"/>
        <rFont val="Calibri"/>
        <family val="2"/>
        <scheme val="minor"/>
      </rPr>
      <t xml:space="preserve"> </t>
    </r>
    <r>
      <rPr>
        <sz val="26"/>
        <color theme="1"/>
        <rFont val="Calibri"/>
        <family val="2"/>
        <scheme val="minor"/>
      </rPr>
      <t>(project revision)</t>
    </r>
  </si>
  <si>
    <r>
      <t xml:space="preserve">Activity Log for </t>
    </r>
    <r>
      <rPr>
        <b/>
        <sz val="36"/>
        <color rgb="FF7030A0"/>
        <rFont val="Times New Roman"/>
        <family val="1"/>
      </rPr>
      <t>Second Design Project 2.0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</si>
  <si>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Second Design Project 2.1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</si>
  <si>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Final Project</t>
    </r>
    <r>
      <rPr>
        <sz val="36"/>
        <color rgb="FFFF0000"/>
        <rFont val="Calibri"/>
        <family val="2"/>
        <scheme val="minor"/>
      </rPr>
      <t xml:space="preserve"> </t>
    </r>
    <r>
      <rPr>
        <sz val="26"/>
        <color theme="1"/>
        <rFont val="Calibri"/>
        <family val="2"/>
        <scheme val="minor"/>
      </rPr>
      <t>(project research, development &amp; documentation)</t>
    </r>
  </si>
  <si>
    <r>
      <rPr>
        <b/>
        <u/>
        <sz val="16"/>
        <color theme="1"/>
        <rFont val="Calibri"/>
        <family val="2"/>
        <scheme val="minor"/>
      </rPr>
      <t>Micro-Activities</t>
    </r>
    <r>
      <rPr>
        <sz val="16"/>
        <color theme="1"/>
        <rFont val="Calibri"/>
        <family val="2"/>
        <scheme val="minor"/>
      </rPr>
      <t xml:space="preserve">:
1) List of activites that are typically </t>
    </r>
    <r>
      <rPr>
        <b/>
        <sz val="16"/>
        <color rgb="FFC00000"/>
        <rFont val="Calibri"/>
        <family val="2"/>
        <scheme val="minor"/>
      </rPr>
      <t>half-an-hour to two hours</t>
    </r>
    <r>
      <rPr>
        <sz val="16"/>
        <color theme="1"/>
        <rFont val="Calibri"/>
        <family val="2"/>
        <scheme val="minor"/>
      </rPr>
      <t xml:space="preserve"> in duration; include relevant facts &amp; details.
2) Ensure that you make a log entry </t>
    </r>
    <r>
      <rPr>
        <b/>
        <sz val="16"/>
        <color rgb="FFC00000"/>
        <rFont val="Calibri"/>
        <family val="2"/>
        <scheme val="minor"/>
      </rPr>
      <t>at least every two hours</t>
    </r>
    <r>
      <rPr>
        <sz val="16"/>
        <color theme="1"/>
        <rFont val="Calibri"/>
        <family val="2"/>
        <scheme val="minor"/>
      </rPr>
      <t xml:space="preserve">.
3)  </t>
    </r>
    <r>
      <rPr>
        <b/>
        <sz val="16"/>
        <color rgb="FFC00000"/>
        <rFont val="Calibri"/>
        <family val="2"/>
        <scheme val="minor"/>
      </rPr>
      <t>If</t>
    </r>
    <r>
      <rPr>
        <sz val="16"/>
        <color theme="1"/>
        <rFont val="Calibri"/>
        <family val="2"/>
        <scheme val="minor"/>
      </rPr>
      <t xml:space="preserve"> a task takes many hours, </t>
    </r>
    <r>
      <rPr>
        <b/>
        <sz val="16"/>
        <color rgb="FFC00000"/>
        <rFont val="Calibri"/>
        <family val="2"/>
        <scheme val="minor"/>
      </rPr>
      <t>break up the activies</t>
    </r>
    <r>
      <rPr>
        <sz val="16"/>
        <color theme="1"/>
        <rFont val="Calibri"/>
        <family val="2"/>
        <scheme val="minor"/>
      </rPr>
      <t xml:space="preserve"> into multiple log entries. Each log entry should describe your accomplishments for time blocks of approximately two hours.</t>
    </r>
  </si>
  <si>
    <t>G30</t>
  </si>
  <si>
    <t>Mike Nguyen</t>
  </si>
  <si>
    <t>Read Design Project 1 specification document; identified required deliverables for DP1.0 and mapped report outline sections to specification headings.</t>
  </si>
  <si>
    <t>Created DP1 root directory and subfolder hierarchy according to Project Documentation Guidelines; verified compliance with DP1.0 submission rules.</t>
  </si>
  <si>
    <t>Reviewed DP1.1 guidelines PDF and confirmed required folder structure. Organized project directory with Documentation, SourceCode, Simulation folders. Verified naming conventions and removed spaces in paths.</t>
  </si>
  <si>
    <t>Created Quartus project DP11 and imported VHDL design files (Adder_Baseline, CSA, FastRipple). Configured top-level entity and verified successful Analysis &amp; Synthesis.</t>
  </si>
  <si>
    <t>Generated SDC timing constraint file (adder.sdc) with create_clock constraint. Added SDC file into Quartus Timing Analyzer settings and recompiled project to ensure timing analysis works properly.</t>
  </si>
  <si>
    <t>Ran Timing Analyzer reports for Cyclone IV device. Collected Setup Summary and Fmax Summary outputs and verified clock name detection. Checked slack values and confirmed timing constraint is applied.</t>
  </si>
  <si>
    <t>Generated Resource Usage Summary reports for Baseline design. Exported timing/resource outputs to text files. Created transcript text files documenting tool output for baseline design compilation.</t>
  </si>
  <si>
    <t>Repeated compilation and timing analysis process for CSA adder design. Exported Cyclone IV Fmax Summary, Setup Summary, and Resources reports into OutputFiles folder using required naming convention.</t>
  </si>
  <si>
    <t>Repeated compilation and timing analysis for Fast Ripple adder design. Exported timing and resource reports. Verified outputs saved correctly and consistent with guideline format.</t>
  </si>
  <si>
    <t>Reviewed Quartus output folders and corrected folder placement (Documentation/OutputFiles). Cleaned redundant auto-generated Quartus folders. Verified submission-ready directory structure.</t>
  </si>
  <si>
    <t>Checked device requirement in DP1 document and confirmed need to evaluate Arria II device as well. Planned naming convention for Arria output files and prepared to rerun compilation for Arria II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</si>
</sst>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0000"/>
  </numFmts>
  <fonts count="14" x14ac:knownFonts="1">
    <font>
      <sz val="11"/>
      <color theme="1"/>
      <name val="Calibri"/>
      <family val="2"/>
      <scheme val="minor"/>
    </font>
    <font>
      <sz val="11"/>
      <color theme="1"/>
      <name val="Stencil"/>
      <family val="5"/>
    </font>
    <font>
      <sz val="11"/>
      <color theme="1"/>
      <name val="Times New Roman"/>
      <family val="1"/>
    </font>
    <font>
      <sz val="14"/>
      <color theme="1"/>
      <name val="Calibri"/>
      <family val="2"/>
      <scheme val="minor"/>
    </font>
    <font>
      <sz val="26"/>
      <color theme="1"/>
      <name val="Calibri"/>
      <family val="2"/>
      <scheme val="minor"/>
    </font>
    <font>
      <sz val="36"/>
      <color rgb="FFFF0000"/>
      <name val="Calibri"/>
      <family val="2"/>
      <scheme val="minor"/>
    </font>
    <font>
      <sz val="12"/>
      <color theme="1"/>
      <name val="Calibri"/>
      <family val="2"/>
      <scheme val="minor"/>
    </font>
    <font>
      <b/>
      <sz val="20"/>
      <color rgb="FFC00000"/>
      <name val="Calibri"/>
      <family val="2"/>
      <scheme val="minor"/>
    </font>
    <font>
      <b/>
      <sz val="16"/>
      <color rgb="FFC00000"/>
      <name val="Calibri"/>
      <family val="2"/>
      <scheme val="minor"/>
    </font>
    <font>
      <sz val="16"/>
      <color theme="1"/>
      <name val="Calibri"/>
      <family val="2"/>
      <scheme val="minor"/>
    </font>
    <font>
      <b/>
      <u/>
      <sz val="16"/>
      <color theme="1"/>
      <name val="Calibri"/>
      <family val="2"/>
      <scheme val="minor"/>
    </font>
    <font>
      <b/>
      <sz val="14"/>
      <color theme="1"/>
      <name val="Calibri"/>
      <family val="2"/>
      <scheme val="minor"/>
    </font>
    <font>
      <b/>
      <sz val="11"/>
      <color theme="1"/>
      <name val="Calibri"/>
      <family val="2"/>
      <scheme val="minor"/>
    </font>
    <font>
      <b/>
      <sz val="36"/>
      <color rgb="FF7030A0"/>
      <name val="Times New Roman"/>
      <family val="1"/>
    </font>
  </fonts>
  <fills count="6">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39997558519241921"/>
        <bgColor indexed="64"/>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s>
  <cellStyleXfs count="1">
    <xf numFmtId="0" fontId="0" fillId="0" borderId="0"/>
  </cellStyleXfs>
  <cellXfs count="57">
    <xf numFmtId="0" fontId="0" fillId="0" borderId="0" xfId="0"/>
    <xf numFmtId="0" fontId="1" fillId="0" borderId="0" xfId="0" applyFont="1" applyAlignment="1">
      <alignment horizontal="center" vertical="center"/>
    </xf>
    <xf numFmtId="164" fontId="0" fillId="0" borderId="0" xfId="0" applyNumberFormat="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164" fontId="1"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18" fontId="0" fillId="0" borderId="0" xfId="0" applyNumberFormat="1"/>
    <xf numFmtId="18" fontId="1" fillId="3" borderId="2" xfId="0" applyNumberFormat="1" applyFont="1" applyFill="1" applyBorder="1" applyAlignment="1">
      <alignment horizontal="center" vertical="center"/>
    </xf>
    <xf numFmtId="2" fontId="3" fillId="0" borderId="0" xfId="0" applyNumberFormat="1" applyFont="1" applyAlignment="1">
      <alignment vertical="center"/>
    </xf>
    <xf numFmtId="18" fontId="1" fillId="3" borderId="4" xfId="0" applyNumberFormat="1" applyFont="1" applyFill="1" applyBorder="1" applyAlignment="1">
      <alignment horizontal="center" vertical="center"/>
    </xf>
    <xf numFmtId="2" fontId="3" fillId="0" borderId="6" xfId="0" applyNumberFormat="1" applyFont="1" applyBorder="1" applyAlignment="1" applyProtection="1">
      <alignment vertical="center"/>
      <protection hidden="1"/>
    </xf>
    <xf numFmtId="165" fontId="3" fillId="4" borderId="7" xfId="0" applyNumberFormat="1" applyFont="1" applyFill="1" applyBorder="1" applyAlignment="1" applyProtection="1">
      <alignment horizontal="center" vertical="center"/>
      <protection locked="0"/>
    </xf>
    <xf numFmtId="165" fontId="3" fillId="4" borderId="11" xfId="0" applyNumberFormat="1" applyFont="1" applyFill="1" applyBorder="1" applyAlignment="1" applyProtection="1">
      <alignment horizontal="center" vertical="center"/>
      <protection locked="0"/>
    </xf>
    <xf numFmtId="165" fontId="3" fillId="4" borderId="14" xfId="0" applyNumberFormat="1" applyFont="1" applyFill="1" applyBorder="1" applyAlignment="1" applyProtection="1">
      <alignment horizontal="center" vertical="center"/>
      <protection locked="0"/>
    </xf>
    <xf numFmtId="0" fontId="0" fillId="4" borderId="7" xfId="0" applyFill="1" applyBorder="1" applyAlignment="1" applyProtection="1">
      <alignment horizontal="left" vertical="center"/>
      <protection locked="0"/>
    </xf>
    <xf numFmtId="0" fontId="0" fillId="4" borderId="11" xfId="0" applyFill="1" applyBorder="1" applyAlignment="1" applyProtection="1">
      <alignment horizontal="left" vertical="center"/>
      <protection locked="0"/>
    </xf>
    <xf numFmtId="0" fontId="0" fillId="4" borderId="14" xfId="0" applyFill="1" applyBorder="1" applyAlignment="1" applyProtection="1">
      <alignment horizontal="left" vertical="center"/>
      <protection locked="0"/>
    </xf>
    <xf numFmtId="164" fontId="0" fillId="4" borderId="7" xfId="0" applyNumberFormat="1" applyFill="1" applyBorder="1" applyAlignment="1" applyProtection="1">
      <alignment vertical="center"/>
      <protection locked="0"/>
    </xf>
    <xf numFmtId="18" fontId="0" fillId="4" borderId="8" xfId="0" applyNumberFormat="1" applyFill="1" applyBorder="1" applyAlignment="1" applyProtection="1">
      <alignment vertical="center"/>
      <protection locked="0"/>
    </xf>
    <xf numFmtId="18" fontId="0" fillId="4" borderId="9" xfId="0" applyNumberFormat="1" applyFill="1" applyBorder="1" applyAlignment="1" applyProtection="1">
      <alignment vertical="center"/>
      <protection locked="0"/>
    </xf>
    <xf numFmtId="164" fontId="0" fillId="4" borderId="11" xfId="0" applyNumberFormat="1" applyFill="1" applyBorder="1" applyAlignment="1" applyProtection="1">
      <alignment vertical="center"/>
      <protection locked="0"/>
    </xf>
    <xf numFmtId="18" fontId="0" fillId="4" borderId="12" xfId="0" applyNumberFormat="1" applyFill="1" applyBorder="1" applyAlignment="1" applyProtection="1">
      <alignment vertical="center"/>
      <protection locked="0"/>
    </xf>
    <xf numFmtId="164" fontId="0" fillId="4" borderId="14" xfId="0" applyNumberFormat="1" applyFill="1" applyBorder="1" applyAlignment="1" applyProtection="1">
      <alignment vertical="center"/>
      <protection locked="0"/>
    </xf>
    <xf numFmtId="18" fontId="0" fillId="4" borderId="5" xfId="0" applyNumberFormat="1" applyFill="1" applyBorder="1" applyAlignment="1" applyProtection="1">
      <alignment vertical="center"/>
      <protection locked="0"/>
    </xf>
    <xf numFmtId="18" fontId="0" fillId="4" borderId="15" xfId="0" applyNumberFormat="1" applyFill="1" applyBorder="1" applyAlignment="1" applyProtection="1">
      <alignment vertical="center"/>
      <protection locked="0"/>
    </xf>
    <xf numFmtId="2" fontId="3" fillId="0" borderId="10" xfId="0" applyNumberFormat="1" applyFont="1" applyBorder="1" applyProtection="1">
      <protection hidden="1"/>
    </xf>
    <xf numFmtId="2" fontId="3" fillId="0" borderId="13" xfId="0" applyNumberFormat="1" applyFont="1" applyBorder="1" applyProtection="1">
      <protection hidden="1"/>
    </xf>
    <xf numFmtId="2" fontId="3" fillId="5" borderId="0" xfId="0" applyNumberFormat="1" applyFont="1" applyFill="1" applyProtection="1">
      <protection hidden="1"/>
    </xf>
    <xf numFmtId="2" fontId="3" fillId="0" borderId="0" xfId="0" applyNumberFormat="1" applyFont="1" applyProtection="1">
      <protection hidden="1"/>
    </xf>
    <xf numFmtId="0" fontId="0" fillId="0" borderId="6" xfId="0" applyBorder="1"/>
    <xf numFmtId="0" fontId="0" fillId="0" borderId="10" xfId="0" applyBorder="1"/>
    <xf numFmtId="0" fontId="0" fillId="0" borderId="13" xfId="0" applyBorder="1"/>
    <xf numFmtId="2" fontId="3" fillId="0" borderId="6" xfId="0" applyNumberFormat="1" applyFont="1" applyBorder="1" applyAlignment="1">
      <alignment vertical="center"/>
    </xf>
    <xf numFmtId="2" fontId="3" fillId="0" borderId="10" xfId="0" applyNumberFormat="1" applyFont="1" applyBorder="1"/>
    <xf numFmtId="2" fontId="3" fillId="0" borderId="13" xfId="0" applyNumberFormat="1" applyFont="1" applyBorder="1"/>
    <xf numFmtId="0" fontId="11" fillId="2" borderId="0" xfId="0" applyFont="1" applyFill="1" applyAlignment="1">
      <alignment horizontal="left" vertical="center"/>
    </xf>
    <xf numFmtId="0" fontId="12" fillId="2" borderId="20" xfId="0" applyFont="1" applyFill="1" applyBorder="1" applyAlignment="1">
      <alignment horizontal="left" vertical="center" wrapText="1"/>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9" fontId="7" fillId="4" borderId="16" xfId="0" applyNumberFormat="1" applyFont="1" applyFill="1" applyBorder="1" applyAlignment="1" applyProtection="1">
      <alignment horizontal="center" vertical="center"/>
      <protection locked="0"/>
    </xf>
    <xf numFmtId="0" fontId="7" fillId="4" borderId="10" xfId="0" applyFont="1" applyFill="1" applyBorder="1" applyAlignment="1" applyProtection="1">
      <alignment horizontal="center" vertical="center"/>
      <protection locked="0"/>
    </xf>
    <xf numFmtId="0" fontId="7" fillId="4" borderId="17" xfId="0" applyFont="1" applyFill="1" applyBorder="1" applyAlignment="1" applyProtection="1">
      <alignment horizontal="center" vertical="center"/>
      <protection locked="0"/>
    </xf>
    <xf numFmtId="18" fontId="4" fillId="5" borderId="21" xfId="0" applyNumberFormat="1" applyFont="1" applyFill="1" applyBorder="1" applyAlignment="1">
      <alignment horizontal="center" vertical="center"/>
    </xf>
    <xf numFmtId="18" fontId="4" fillId="5" borderId="4" xfId="0" applyNumberFormat="1" applyFont="1" applyFill="1" applyBorder="1" applyAlignment="1">
      <alignment horizontal="center" vertical="center"/>
    </xf>
    <xf numFmtId="18" fontId="4" fillId="5" borderId="22" xfId="0" applyNumberFormat="1" applyFont="1" applyFill="1" applyBorder="1" applyAlignment="1">
      <alignment horizontal="center" vertical="center"/>
    </xf>
    <xf numFmtId="18" fontId="4" fillId="5" borderId="0" xfId="0" applyNumberFormat="1" applyFont="1" applyFill="1" applyAlignment="1">
      <alignment horizontal="center" vertical="center"/>
    </xf>
    <xf numFmtId="18" fontId="4" fillId="5" borderId="23" xfId="0" applyNumberFormat="1" applyFont="1" applyFill="1" applyBorder="1" applyAlignment="1">
      <alignment horizontal="center" vertical="center"/>
    </xf>
    <xf numFmtId="18" fontId="4" fillId="5" borderId="24" xfId="0" applyNumberFormat="1" applyFont="1" applyFill="1" applyBorder="1" applyAlignment="1">
      <alignment horizontal="center" vertical="center"/>
    </xf>
    <xf numFmtId="0" fontId="6" fillId="4" borderId="18" xfId="0" applyFont="1" applyFill="1" applyBorder="1" applyAlignment="1" applyProtection="1">
      <alignment horizontal="center" vertical="center"/>
      <protection locked="0"/>
    </xf>
    <xf numFmtId="0" fontId="6" fillId="4" borderId="6" xfId="0" applyFont="1" applyFill="1" applyBorder="1" applyAlignment="1" applyProtection="1">
      <alignment horizontal="center" vertical="center"/>
      <protection locked="0"/>
    </xf>
    <xf numFmtId="0" fontId="6" fillId="4" borderId="19" xfId="0" applyFont="1" applyFill="1" applyBorder="1" applyAlignment="1" applyProtection="1">
      <alignment horizontal="center" vertical="center"/>
      <protection locked="0"/>
    </xf>
    <xf numFmtId="0" fontId="3" fillId="4" borderId="16" xfId="0" applyFont="1" applyFill="1" applyBorder="1" applyAlignment="1" applyProtection="1">
      <alignment horizontal="center" vertical="center"/>
      <protection locked="0"/>
    </xf>
    <xf numFmtId="0" fontId="3" fillId="4" borderId="10" xfId="0" applyFont="1" applyFill="1" applyBorder="1" applyAlignment="1" applyProtection="1">
      <alignment horizontal="center" vertical="center"/>
      <protection locked="0"/>
    </xf>
    <xf numFmtId="0" fontId="3" fillId="4" borderId="17" xfId="0" applyFont="1" applyFill="1" applyBorder="1" applyAlignment="1" applyProtection="1">
      <alignment horizontal="center" vertical="center"/>
      <protection locked="0"/>
    </xf>
    <xf numFmtId="0" fontId="7" fillId="4" borderId="16" xfId="0" applyFont="1" applyFill="1" applyBorder="1" applyAlignment="1" applyProtection="1">
      <alignment horizontal="center" vertical="center"/>
      <protection locked="0"/>
    </xf>
  </cellXfs>
  <cellStyles count="1">
    <cellStyle name="Normal" xfId="0" builtinId="0"/>
  </cellStyles>
  <dxfs count="6">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6E40-83BD-4CBB-97D3-102021CD8368}">
  <dimension ref="A1:I783"/>
  <sheetViews>
    <sheetView zoomScale="85" zoomScaleNormal="85" workbookViewId="0">
      <selection activeCell="E9" sqref="E9"/>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8" t="s">
        <v>19</v>
      </c>
      <c r="B1" s="39"/>
      <c r="C1" s="39"/>
      <c r="D1" s="39"/>
      <c r="E1" s="39"/>
      <c r="F1" s="39"/>
      <c r="G1" s="39"/>
      <c r="H1" s="40"/>
    </row>
    <row r="2" spans="1:9" ht="24.9" customHeight="1" x14ac:dyDescent="0.35">
      <c r="A2" s="36" t="s">
        <v>6</v>
      </c>
      <c r="B2" s="50" t="s">
        <v>21</v>
      </c>
      <c r="C2" s="51"/>
      <c r="D2" s="52"/>
      <c r="E2" s="44" t="s">
        <v>13</v>
      </c>
      <c r="F2" s="45"/>
      <c r="G2" s="45"/>
    </row>
    <row r="3" spans="1:9" ht="24.9" customHeight="1" x14ac:dyDescent="0.35">
      <c r="A3" s="36" t="s">
        <v>5</v>
      </c>
      <c r="B3" s="53">
        <v>301545780</v>
      </c>
      <c r="C3" s="54"/>
      <c r="D3" s="55"/>
      <c r="E3" s="46"/>
      <c r="F3" s="47"/>
      <c r="G3" s="47"/>
    </row>
    <row r="4" spans="1:9" ht="24.9" customHeight="1" thickBot="1" x14ac:dyDescent="0.4">
      <c r="A4" s="36" t="s">
        <v>4</v>
      </c>
      <c r="B4" s="56" t="s">
        <v>20</v>
      </c>
      <c r="C4" s="42"/>
      <c r="D4" s="43"/>
      <c r="E4" s="46"/>
      <c r="F4" s="47"/>
      <c r="G4" s="47"/>
    </row>
    <row r="5" spans="1:9" ht="59.4" customHeight="1" thickBot="1" x14ac:dyDescent="0.4">
      <c r="A5" s="37" t="s">
        <v>11</v>
      </c>
      <c r="B5" s="41">
        <v>0.4</v>
      </c>
      <c r="C5" s="42"/>
      <c r="D5" s="43"/>
      <c r="E5" s="48"/>
      <c r="F5" s="49"/>
      <c r="G5" s="49"/>
    </row>
    <row r="6" spans="1:9" s="1" customFormat="1" ht="24.9" customHeight="1" thickBot="1" x14ac:dyDescent="0.4">
      <c r="A6" s="3" t="s">
        <v>7</v>
      </c>
      <c r="B6" s="4" t="s">
        <v>0</v>
      </c>
      <c r="C6" s="5" t="s">
        <v>1</v>
      </c>
      <c r="D6" s="10" t="s">
        <v>2</v>
      </c>
      <c r="E6" s="8" t="s">
        <v>3</v>
      </c>
      <c r="F6" s="4" t="s">
        <v>7</v>
      </c>
      <c r="G6" s="6" t="s">
        <v>10</v>
      </c>
      <c r="H6" s="4" t="s">
        <v>8</v>
      </c>
    </row>
    <row r="7" spans="1:9" ht="24.9" customHeight="1" x14ac:dyDescent="0.35">
      <c r="A7" s="30"/>
      <c r="B7" s="12">
        <v>5780</v>
      </c>
      <c r="C7" s="18">
        <v>46052</v>
      </c>
      <c r="D7" s="19">
        <v>0.58680555555555558</v>
      </c>
      <c r="E7" s="20">
        <v>0.60763888888888884</v>
      </c>
      <c r="F7" s="33"/>
      <c r="G7" s="15" t="s">
        <v>22</v>
      </c>
      <c r="H7" s="11">
        <f t="shared" ref="H7" si="0">(E7-D7)*24</f>
        <v>0.49999999999999822</v>
      </c>
      <c r="I7" s="9"/>
    </row>
    <row r="8" spans="1:9" ht="24.9" customHeight="1" x14ac:dyDescent="0.45">
      <c r="A8" s="31"/>
      <c r="B8" s="13">
        <v>5780</v>
      </c>
      <c r="C8" s="21">
        <v>46052</v>
      </c>
      <c r="D8" s="19">
        <v>0.66666666666666663</v>
      </c>
      <c r="E8" s="22">
        <v>0.70833333333333337</v>
      </c>
      <c r="F8" s="34"/>
      <c r="G8" s="16" t="s">
        <v>23</v>
      </c>
      <c r="H8" s="26">
        <f>(E8-D8)*24</f>
        <v>1.0000000000000018</v>
      </c>
    </row>
    <row r="9" spans="1:9" ht="24.9" customHeight="1" x14ac:dyDescent="0.45">
      <c r="A9" s="31"/>
      <c r="B9" s="13"/>
      <c r="C9" s="21"/>
      <c r="D9" s="19"/>
      <c r="E9" s="22"/>
      <c r="F9" s="34"/>
      <c r="G9" s="16"/>
      <c r="H9" s="26">
        <f t="shared" ref="H9:H72" si="1">(E9-D9)*24</f>
        <v>0</v>
      </c>
    </row>
    <row r="10" spans="1:9" ht="24.9" customHeight="1" x14ac:dyDescent="0.45">
      <c r="A10" s="31"/>
      <c r="B10" s="13"/>
      <c r="C10" s="21"/>
      <c r="D10" s="19"/>
      <c r="E10" s="22"/>
      <c r="F10" s="34"/>
      <c r="G10" s="16"/>
      <c r="H10" s="26">
        <f t="shared" si="1"/>
        <v>0</v>
      </c>
    </row>
    <row r="11" spans="1:9" ht="24.9" customHeight="1" x14ac:dyDescent="0.45">
      <c r="A11" s="31"/>
      <c r="B11" s="13"/>
      <c r="C11" s="21"/>
      <c r="D11" s="19"/>
      <c r="E11" s="22"/>
      <c r="F11" s="34"/>
      <c r="G11" s="16"/>
      <c r="H11" s="26">
        <f t="shared" si="1"/>
        <v>0</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1.5</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sNU3PU1sZu/XHq3y7daVxIp92iIMOUtXXVzLXIeK25US15H4gHDflCeEtaLvhtcn5lLNCpT+VIs3Qmrn6AHrxg==" saltValue="IEOaYygWcBfcrG8obapXYQ==" spinCount="100000" sheet="1" selectLockedCells="1"/>
  <mergeCells count="6">
    <mergeCell ref="A1:H1"/>
    <mergeCell ref="B5:D5"/>
    <mergeCell ref="E2:G5"/>
    <mergeCell ref="B2:D2"/>
    <mergeCell ref="B3:D3"/>
    <mergeCell ref="B4:D4"/>
  </mergeCells>
  <conditionalFormatting sqref="H7:H79">
    <cfRule type="cellIs" dxfId="5" priority="1" operator="less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799F-2A25-43A6-9F67-3B557D40BF29}">
  <dimension ref="A1:I783"/>
  <sheetViews>
    <sheetView tabSelected="1" zoomScale="85" zoomScaleNormal="85" workbookViewId="0">
      <selection activeCell="B16" sqref="B16"/>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8" t="s">
        <v>19</v>
      </c>
      <c r="B1" s="39"/>
      <c r="C1" s="39"/>
      <c r="D1" s="39"/>
      <c r="E1" s="39"/>
      <c r="F1" s="39"/>
      <c r="G1" s="39"/>
      <c r="H1" s="40"/>
    </row>
    <row r="2" spans="1:9" ht="24.9" customHeight="1" x14ac:dyDescent="0.35">
      <c r="A2" s="36" t="s">
        <v>6</v>
      </c>
      <c r="B2" s="50" t="s">
        <v>21</v>
      </c>
      <c r="C2" s="51"/>
      <c r="D2" s="52"/>
      <c r="E2" s="44" t="s">
        <v>14</v>
      </c>
      <c r="F2" s="45"/>
      <c r="G2" s="45"/>
    </row>
    <row r="3" spans="1:9" ht="24.9" customHeight="1" x14ac:dyDescent="0.35">
      <c r="A3" s="36" t="s">
        <v>5</v>
      </c>
      <c r="B3" s="53">
        <v>301545780</v>
      </c>
      <c r="C3" s="54"/>
      <c r="D3" s="55"/>
      <c r="E3" s="46"/>
      <c r="F3" s="47"/>
      <c r="G3" s="47"/>
    </row>
    <row r="4" spans="1:9" ht="24.9" customHeight="1" thickBot="1" x14ac:dyDescent="0.4">
      <c r="A4" s="36" t="s">
        <v>4</v>
      </c>
      <c r="B4" s="56" t="s">
        <v>20</v>
      </c>
      <c r="C4" s="42"/>
      <c r="D4" s="43"/>
      <c r="E4" s="46"/>
      <c r="F4" s="47"/>
      <c r="G4" s="47"/>
    </row>
    <row r="5" spans="1:9" ht="59.4" customHeight="1" thickBot="1" x14ac:dyDescent="0.4">
      <c r="A5" s="37" t="s">
        <v>11</v>
      </c>
      <c r="B5" s="41">
        <v>0.4</v>
      </c>
      <c r="C5" s="42"/>
      <c r="D5" s="43"/>
      <c r="E5" s="48"/>
      <c r="F5" s="49"/>
      <c r="G5" s="49"/>
    </row>
    <row r="6" spans="1:9" s="1" customFormat="1" ht="24.9" customHeight="1" thickBot="1" x14ac:dyDescent="0.4">
      <c r="A6" s="3" t="s">
        <v>7</v>
      </c>
      <c r="B6" s="4" t="s">
        <v>0</v>
      </c>
      <c r="C6" s="5" t="s">
        <v>1</v>
      </c>
      <c r="D6" s="10" t="s">
        <v>2</v>
      </c>
      <c r="E6" s="8" t="s">
        <v>3</v>
      </c>
      <c r="F6" s="4" t="s">
        <v>7</v>
      </c>
      <c r="G6" s="6" t="s">
        <v>10</v>
      </c>
      <c r="H6" s="4" t="s">
        <v>8</v>
      </c>
    </row>
    <row r="7" spans="1:9" ht="24.9" customHeight="1" x14ac:dyDescent="0.35">
      <c r="A7" s="30"/>
      <c r="B7" s="12">
        <v>5780</v>
      </c>
      <c r="C7" s="18">
        <v>46068</v>
      </c>
      <c r="D7" s="19">
        <v>0</v>
      </c>
      <c r="E7" s="20">
        <v>4.1666666666666664E-2</v>
      </c>
      <c r="F7" s="33"/>
      <c r="G7" s="15" t="s">
        <v>24</v>
      </c>
      <c r="H7" s="11">
        <f t="shared" ref="H7" si="0">(E7-D7)*24</f>
        <v>1</v>
      </c>
      <c r="I7" s="9"/>
    </row>
    <row r="8" spans="1:9" ht="24.9" customHeight="1" x14ac:dyDescent="0.45">
      <c r="A8" s="31"/>
      <c r="B8" s="13">
        <v>5780</v>
      </c>
      <c r="C8" s="21">
        <v>46068</v>
      </c>
      <c r="D8" s="19">
        <v>4.1666666666666664E-2</v>
      </c>
      <c r="E8" s="22">
        <v>8.3333333333333329E-2</v>
      </c>
      <c r="F8" s="34"/>
      <c r="G8" s="16" t="s">
        <v>25</v>
      </c>
      <c r="H8" s="26">
        <f>(E8-D8)*24</f>
        <v>1</v>
      </c>
    </row>
    <row r="9" spans="1:9" ht="24.9" customHeight="1" x14ac:dyDescent="0.45">
      <c r="A9" s="31"/>
      <c r="B9" s="13">
        <v>5780</v>
      </c>
      <c r="C9" s="21">
        <v>46068</v>
      </c>
      <c r="D9" s="19">
        <v>8.3333333333333329E-2</v>
      </c>
      <c r="E9" s="22">
        <v>0.125</v>
      </c>
      <c r="F9" s="34"/>
      <c r="G9" s="16" t="s">
        <v>26</v>
      </c>
      <c r="H9" s="26">
        <f t="shared" ref="H9:H72" si="1">(E9-D9)*24</f>
        <v>1</v>
      </c>
    </row>
    <row r="10" spans="1:9" ht="24.9" customHeight="1" x14ac:dyDescent="0.45">
      <c r="A10" s="31"/>
      <c r="B10" s="13">
        <v>5780</v>
      </c>
      <c r="C10" s="21">
        <v>46068</v>
      </c>
      <c r="D10" s="19">
        <v>0.125</v>
      </c>
      <c r="E10" s="22">
        <v>0.16666666666666666</v>
      </c>
      <c r="F10" s="34"/>
      <c r="G10" s="16" t="s">
        <v>27</v>
      </c>
      <c r="H10" s="26">
        <f t="shared" si="1"/>
        <v>0.99999999999999978</v>
      </c>
    </row>
    <row r="11" spans="1:9" ht="24.9" customHeight="1" x14ac:dyDescent="0.45">
      <c r="A11" s="31"/>
      <c r="B11" s="13">
        <v>5780</v>
      </c>
      <c r="C11" s="21">
        <v>46068</v>
      </c>
      <c r="D11" s="19">
        <v>0.16666666666666666</v>
      </c>
      <c r="E11" s="22">
        <v>0.20833333333333334</v>
      </c>
      <c r="F11" s="34"/>
      <c r="G11" s="16" t="s">
        <v>28</v>
      </c>
      <c r="H11" s="26">
        <f t="shared" si="1"/>
        <v>1.0000000000000004</v>
      </c>
    </row>
    <row r="12" spans="1:9" ht="24.9" customHeight="1" x14ac:dyDescent="0.45">
      <c r="A12" s="31"/>
      <c r="B12" s="13">
        <v>5780</v>
      </c>
      <c r="C12" s="21">
        <v>46068</v>
      </c>
      <c r="D12" s="19">
        <v>0.20833333333333334</v>
      </c>
      <c r="E12" s="22">
        <v>0.25</v>
      </c>
      <c r="F12" s="34"/>
      <c r="G12" s="16" t="s">
        <v>29</v>
      </c>
      <c r="H12" s="26">
        <f t="shared" si="1"/>
        <v>0.99999999999999978</v>
      </c>
    </row>
    <row r="13" spans="1:9" ht="24.9" customHeight="1" x14ac:dyDescent="0.45">
      <c r="A13" s="31"/>
      <c r="B13" s="13">
        <v>5780</v>
      </c>
      <c r="C13" s="21">
        <v>46068</v>
      </c>
      <c r="D13" s="19">
        <v>0.25</v>
      </c>
      <c r="E13" s="22">
        <v>0.29166666666666669</v>
      </c>
      <c r="F13" s="34"/>
      <c r="G13" s="16" t="s">
        <v>30</v>
      </c>
      <c r="H13" s="26">
        <f t="shared" si="1"/>
        <v>1.0000000000000004</v>
      </c>
    </row>
    <row r="14" spans="1:9" ht="24.9" customHeight="1" x14ac:dyDescent="0.45">
      <c r="A14" s="31"/>
      <c r="B14" s="13">
        <v>5780</v>
      </c>
      <c r="C14" s="21">
        <v>46068</v>
      </c>
      <c r="D14" s="19">
        <v>0.29166666666666669</v>
      </c>
      <c r="E14" s="22">
        <v>0.33333333333333331</v>
      </c>
      <c r="F14" s="34"/>
      <c r="G14" s="16" t="s">
        <v>31</v>
      </c>
      <c r="H14" s="26">
        <f t="shared" si="1"/>
        <v>0.99999999999999911</v>
      </c>
    </row>
    <row r="15" spans="1:9" ht="24.9" customHeight="1" x14ac:dyDescent="0.45">
      <c r="A15" s="31"/>
      <c r="B15" s="13">
        <v>5780</v>
      </c>
      <c r="C15" s="21">
        <v>46068</v>
      </c>
      <c r="D15" s="19">
        <v>0.33333333333333331</v>
      </c>
      <c r="E15" s="22">
        <v>0.375</v>
      </c>
      <c r="F15" s="34"/>
      <c r="G15" s="16" t="s">
        <v>32</v>
      </c>
      <c r="H15" s="26">
        <f t="shared" si="1"/>
        <v>1.0000000000000004</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9</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dcXtR48WjTYpG3sepj09aT2hu2Urn2XT63cVCbH0dtmdijrN88SUEVBVQrNj3ev9M3BNz+szElQ3n3/TfEl3qQ==" saltValue="EZxqCyY7QrENN0a1ZXZyng==" spinCount="100000" sheet="1" selectLockedCells="1"/>
  <mergeCells count="6">
    <mergeCell ref="B5:D5"/>
    <mergeCell ref="E2:G5"/>
    <mergeCell ref="A1:H1"/>
    <mergeCell ref="B2:D2"/>
    <mergeCell ref="B3:D3"/>
    <mergeCell ref="B4:D4"/>
  </mergeCells>
  <conditionalFormatting sqref="H7:H79">
    <cfRule type="cellIs" dxfId="4" priority="1"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A045-CD49-49CC-91F4-D8E7747F6F1D}">
  <dimension ref="A1:I783"/>
  <sheetViews>
    <sheetView zoomScale="85" zoomScaleNormal="85" workbookViewId="0">
      <selection activeCell="D19" sqref="D19"/>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8" t="s">
        <v>19</v>
      </c>
      <c r="B1" s="39"/>
      <c r="C1" s="39"/>
      <c r="D1" s="39"/>
      <c r="E1" s="39"/>
      <c r="F1" s="39"/>
      <c r="G1" s="39"/>
      <c r="H1" s="40"/>
    </row>
    <row r="2" spans="1:9" ht="24.9" customHeight="1" x14ac:dyDescent="0.35">
      <c r="A2" s="36" t="s">
        <v>6</v>
      </c>
      <c r="B2" s="50"/>
      <c r="C2" s="51"/>
      <c r="D2" s="52"/>
      <c r="E2" s="44" t="s">
        <v>15</v>
      </c>
      <c r="F2" s="45"/>
      <c r="G2" s="45"/>
    </row>
    <row r="3" spans="1:9" ht="24.9" customHeight="1" x14ac:dyDescent="0.35">
      <c r="A3" s="36" t="s">
        <v>5</v>
      </c>
      <c r="B3" s="53"/>
      <c r="C3" s="54"/>
      <c r="D3" s="55"/>
      <c r="E3" s="46"/>
      <c r="F3" s="47"/>
      <c r="G3" s="47"/>
    </row>
    <row r="4" spans="1:9" ht="24.9" customHeight="1" thickBot="1" x14ac:dyDescent="0.4">
      <c r="A4" s="36" t="s">
        <v>4</v>
      </c>
      <c r="B4" s="56" t="s">
        <v>9</v>
      </c>
      <c r="C4" s="42"/>
      <c r="D4" s="43"/>
      <c r="E4" s="46"/>
      <c r="F4" s="47"/>
      <c r="G4" s="47"/>
    </row>
    <row r="5" spans="1:9" ht="59.4" customHeight="1" thickBot="1" x14ac:dyDescent="0.4">
      <c r="A5" s="37" t="s">
        <v>11</v>
      </c>
      <c r="B5" s="56" t="s">
        <v>12</v>
      </c>
      <c r="C5" s="42"/>
      <c r="D5" s="43"/>
      <c r="E5" s="48"/>
      <c r="F5" s="49"/>
      <c r="G5" s="49"/>
    </row>
    <row r="6" spans="1:9" s="1" customFormat="1" ht="24.9" customHeight="1" thickBot="1" x14ac:dyDescent="0.4">
      <c r="A6" s="3" t="s">
        <v>7</v>
      </c>
      <c r="B6" s="4" t="s">
        <v>0</v>
      </c>
      <c r="C6" s="5" t="s">
        <v>1</v>
      </c>
      <c r="D6" s="10" t="s">
        <v>2</v>
      </c>
      <c r="E6" s="8" t="s">
        <v>3</v>
      </c>
      <c r="F6" s="4" t="s">
        <v>7</v>
      </c>
      <c r="G6" s="6" t="s">
        <v>10</v>
      </c>
      <c r="H6" s="4" t="s">
        <v>8</v>
      </c>
    </row>
    <row r="7" spans="1:9" ht="24.9" customHeight="1" x14ac:dyDescent="0.35">
      <c r="A7" s="30"/>
      <c r="B7" s="12"/>
      <c r="C7" s="18"/>
      <c r="D7" s="19"/>
      <c r="E7" s="20"/>
      <c r="F7" s="33"/>
      <c r="G7" s="15"/>
      <c r="H7" s="11">
        <f t="shared" ref="H7" si="0">(E7-D7)*24</f>
        <v>0</v>
      </c>
      <c r="I7" s="9"/>
    </row>
    <row r="8" spans="1:9" ht="24.9" customHeight="1" x14ac:dyDescent="0.45">
      <c r="A8" s="31"/>
      <c r="B8" s="13"/>
      <c r="C8" s="21"/>
      <c r="D8" s="19"/>
      <c r="E8" s="22"/>
      <c r="F8" s="34"/>
      <c r="G8" s="16"/>
      <c r="H8" s="26">
        <f>(E8-D8)*24</f>
        <v>0</v>
      </c>
    </row>
    <row r="9" spans="1:9" ht="24.9" customHeight="1" x14ac:dyDescent="0.45">
      <c r="A9" s="31"/>
      <c r="B9" s="13"/>
      <c r="C9" s="21"/>
      <c r="D9" s="19"/>
      <c r="E9" s="22"/>
      <c r="F9" s="34"/>
      <c r="G9" s="16"/>
      <c r="H9" s="26">
        <f t="shared" ref="H9:H72" si="1">(E9-D9)*24</f>
        <v>0</v>
      </c>
    </row>
    <row r="10" spans="1:9" ht="24.9" customHeight="1" x14ac:dyDescent="0.45">
      <c r="A10" s="31"/>
      <c r="B10" s="13"/>
      <c r="C10" s="21"/>
      <c r="D10" s="19"/>
      <c r="E10" s="22"/>
      <c r="F10" s="34"/>
      <c r="G10" s="16"/>
      <c r="H10" s="26">
        <f t="shared" si="1"/>
        <v>0</v>
      </c>
    </row>
    <row r="11" spans="1:9" ht="24.9" customHeight="1" x14ac:dyDescent="0.45">
      <c r="A11" s="31"/>
      <c r="B11" s="13"/>
      <c r="C11" s="21"/>
      <c r="D11" s="19"/>
      <c r="E11" s="22"/>
      <c r="F11" s="34"/>
      <c r="G11" s="16"/>
      <c r="H11" s="26">
        <f t="shared" si="1"/>
        <v>0</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0</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pBB1B6Jl5bWlgX5J9HIPcTLMRfUtjrC8U8UcadQhcg1K0x18mldmvWG7OFcVLeuq2aKLelfiglQUZIrMfjSMxw==" saltValue="64RiY70eYZTw84dghxzMqA==" spinCount="100000" sheet="1" selectLockedCells="1"/>
  <mergeCells count="6">
    <mergeCell ref="B5:D5"/>
    <mergeCell ref="E2:G5"/>
    <mergeCell ref="A1:H1"/>
    <mergeCell ref="B2:D2"/>
    <mergeCell ref="B3:D3"/>
    <mergeCell ref="B4:D4"/>
  </mergeCells>
  <conditionalFormatting sqref="H7:H79">
    <cfRule type="cellIs" dxfId="3" priority="1"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D22A-4121-4F88-8FCD-F880315259C6}">
  <dimension ref="A1:I783"/>
  <sheetViews>
    <sheetView zoomScale="85" zoomScaleNormal="85" workbookViewId="0">
      <selection activeCell="G18" sqref="G18"/>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8" t="s">
        <v>19</v>
      </c>
      <c r="B1" s="39"/>
      <c r="C1" s="39"/>
      <c r="D1" s="39"/>
      <c r="E1" s="39"/>
      <c r="F1" s="39"/>
      <c r="G1" s="39"/>
      <c r="H1" s="40"/>
    </row>
    <row r="2" spans="1:9" ht="24.9" customHeight="1" x14ac:dyDescent="0.35">
      <c r="A2" s="36" t="s">
        <v>6</v>
      </c>
      <c r="B2" s="50"/>
      <c r="C2" s="51"/>
      <c r="D2" s="52"/>
      <c r="E2" s="44" t="s">
        <v>16</v>
      </c>
      <c r="F2" s="45"/>
      <c r="G2" s="45"/>
    </row>
    <row r="3" spans="1:9" ht="24.9" customHeight="1" x14ac:dyDescent="0.35">
      <c r="A3" s="36" t="s">
        <v>5</v>
      </c>
      <c r="B3" s="53"/>
      <c r="C3" s="54"/>
      <c r="D3" s="55"/>
      <c r="E3" s="46"/>
      <c r="F3" s="47"/>
      <c r="G3" s="47"/>
    </row>
    <row r="4" spans="1:9" ht="24.9" customHeight="1" thickBot="1" x14ac:dyDescent="0.4">
      <c r="A4" s="36" t="s">
        <v>4</v>
      </c>
      <c r="B4" s="56" t="s">
        <v>9</v>
      </c>
      <c r="C4" s="42"/>
      <c r="D4" s="43"/>
      <c r="E4" s="46"/>
      <c r="F4" s="47"/>
      <c r="G4" s="47"/>
    </row>
    <row r="5" spans="1:9" ht="59.4" customHeight="1" thickBot="1" x14ac:dyDescent="0.4">
      <c r="A5" s="37" t="s">
        <v>11</v>
      </c>
      <c r="B5" s="56" t="s">
        <v>12</v>
      </c>
      <c r="C5" s="42"/>
      <c r="D5" s="43"/>
      <c r="E5" s="48"/>
      <c r="F5" s="49"/>
      <c r="G5" s="49"/>
    </row>
    <row r="6" spans="1:9" s="1" customFormat="1" ht="24.9" customHeight="1" thickBot="1" x14ac:dyDescent="0.4">
      <c r="A6" s="3" t="s">
        <v>7</v>
      </c>
      <c r="B6" s="4" t="s">
        <v>0</v>
      </c>
      <c r="C6" s="5" t="s">
        <v>1</v>
      </c>
      <c r="D6" s="10" t="s">
        <v>2</v>
      </c>
      <c r="E6" s="8" t="s">
        <v>3</v>
      </c>
      <c r="F6" s="4" t="s">
        <v>7</v>
      </c>
      <c r="G6" s="6" t="s">
        <v>10</v>
      </c>
      <c r="H6" s="4" t="s">
        <v>8</v>
      </c>
    </row>
    <row r="7" spans="1:9" ht="24.9" customHeight="1" x14ac:dyDescent="0.35">
      <c r="A7" s="30"/>
      <c r="B7" s="12"/>
      <c r="C7" s="18"/>
      <c r="D7" s="19"/>
      <c r="E7" s="20"/>
      <c r="F7" s="33"/>
      <c r="G7" s="15"/>
      <c r="H7" s="11">
        <f t="shared" ref="H7" si="0">(E7-D7)*24</f>
        <v>0</v>
      </c>
      <c r="I7" s="9"/>
    </row>
    <row r="8" spans="1:9" ht="24.9" customHeight="1" x14ac:dyDescent="0.45">
      <c r="A8" s="31"/>
      <c r="B8" s="13"/>
      <c r="C8" s="21"/>
      <c r="D8" s="19"/>
      <c r="E8" s="22"/>
      <c r="F8" s="34"/>
      <c r="G8" s="16"/>
      <c r="H8" s="26">
        <f>(E8-D8)*24</f>
        <v>0</v>
      </c>
    </row>
    <row r="9" spans="1:9" ht="24.9" customHeight="1" x14ac:dyDescent="0.45">
      <c r="A9" s="31"/>
      <c r="B9" s="13"/>
      <c r="C9" s="21"/>
      <c r="D9" s="19"/>
      <c r="E9" s="22"/>
      <c r="F9" s="34"/>
      <c r="G9" s="16"/>
      <c r="H9" s="26">
        <f t="shared" ref="H9:H72" si="1">(E9-D9)*24</f>
        <v>0</v>
      </c>
    </row>
    <row r="10" spans="1:9" ht="24.9" customHeight="1" x14ac:dyDescent="0.45">
      <c r="A10" s="31"/>
      <c r="B10" s="13"/>
      <c r="C10" s="21"/>
      <c r="D10" s="19"/>
      <c r="E10" s="22"/>
      <c r="F10" s="34"/>
      <c r="G10" s="16"/>
      <c r="H10" s="26">
        <f t="shared" si="1"/>
        <v>0</v>
      </c>
    </row>
    <row r="11" spans="1:9" ht="24.9" customHeight="1" x14ac:dyDescent="0.45">
      <c r="A11" s="31"/>
      <c r="B11" s="13"/>
      <c r="C11" s="21"/>
      <c r="D11" s="19"/>
      <c r="E11" s="22"/>
      <c r="F11" s="34"/>
      <c r="G11" s="16"/>
      <c r="H11" s="26">
        <f t="shared" si="1"/>
        <v>0</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0</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o2flSZBlVhzyZx7NAUThZ2ErdbmdurVNw8Gfx368Q0Y5n3pgNixItMcI/CCjGRC4ifVKL/bCx1j8JI6VXsVgA==" saltValue="OQslXnuivUJ6TrCtkxP52g==" spinCount="100000" sheet="1" selectLockedCells="1"/>
  <mergeCells count="6">
    <mergeCell ref="B5:D5"/>
    <mergeCell ref="E2:G5"/>
    <mergeCell ref="A1:H1"/>
    <mergeCell ref="B2:D2"/>
    <mergeCell ref="B3:D3"/>
    <mergeCell ref="B4:D4"/>
  </mergeCells>
  <conditionalFormatting sqref="H7:H79">
    <cfRule type="cellIs" dxfId="2" priority="1"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5635-BB81-4716-B442-28EF74567593}">
  <dimension ref="A1:I783"/>
  <sheetViews>
    <sheetView zoomScale="85" zoomScaleNormal="85" workbookViewId="0">
      <selection activeCell="G12" sqref="G12"/>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8" t="s">
        <v>19</v>
      </c>
      <c r="B1" s="39"/>
      <c r="C1" s="39"/>
      <c r="D1" s="39"/>
      <c r="E1" s="39"/>
      <c r="F1" s="39"/>
      <c r="G1" s="39"/>
      <c r="H1" s="40"/>
    </row>
    <row r="2" spans="1:9" ht="24.9" customHeight="1" x14ac:dyDescent="0.35">
      <c r="A2" s="36" t="s">
        <v>6</v>
      </c>
      <c r="B2" s="50"/>
      <c r="C2" s="51"/>
      <c r="D2" s="52"/>
      <c r="E2" s="44" t="s">
        <v>17</v>
      </c>
      <c r="F2" s="45"/>
      <c r="G2" s="45"/>
    </row>
    <row r="3" spans="1:9" ht="24.9" customHeight="1" x14ac:dyDescent="0.35">
      <c r="A3" s="36" t="s">
        <v>5</v>
      </c>
      <c r="B3" s="53"/>
      <c r="C3" s="54"/>
      <c r="D3" s="55"/>
      <c r="E3" s="46"/>
      <c r="F3" s="47"/>
      <c r="G3" s="47"/>
    </row>
    <row r="4" spans="1:9" ht="24.9" customHeight="1" thickBot="1" x14ac:dyDescent="0.4">
      <c r="A4" s="36" t="s">
        <v>4</v>
      </c>
      <c r="B4" s="56" t="s">
        <v>9</v>
      </c>
      <c r="C4" s="42"/>
      <c r="D4" s="43"/>
      <c r="E4" s="46"/>
      <c r="F4" s="47"/>
      <c r="G4" s="47"/>
    </row>
    <row r="5" spans="1:9" ht="59.4" customHeight="1" thickBot="1" x14ac:dyDescent="0.4">
      <c r="A5" s="37" t="s">
        <v>11</v>
      </c>
      <c r="B5" s="56" t="s">
        <v>12</v>
      </c>
      <c r="C5" s="42"/>
      <c r="D5" s="43"/>
      <c r="E5" s="48"/>
      <c r="F5" s="49"/>
      <c r="G5" s="49"/>
    </row>
    <row r="6" spans="1:9" s="1" customFormat="1" ht="24.9" customHeight="1" thickBot="1" x14ac:dyDescent="0.4">
      <c r="A6" s="3" t="s">
        <v>7</v>
      </c>
      <c r="B6" s="4" t="s">
        <v>0</v>
      </c>
      <c r="C6" s="5" t="s">
        <v>1</v>
      </c>
      <c r="D6" s="10" t="s">
        <v>2</v>
      </c>
      <c r="E6" s="8" t="s">
        <v>3</v>
      </c>
      <c r="F6" s="4" t="s">
        <v>7</v>
      </c>
      <c r="G6" s="6" t="s">
        <v>10</v>
      </c>
      <c r="H6" s="4" t="s">
        <v>8</v>
      </c>
    </row>
    <row r="7" spans="1:9" ht="24.9" customHeight="1" x14ac:dyDescent="0.35">
      <c r="A7" s="30"/>
      <c r="B7" s="12"/>
      <c r="C7" s="18"/>
      <c r="D7" s="19"/>
      <c r="E7" s="20"/>
      <c r="F7" s="33"/>
      <c r="G7" s="15"/>
      <c r="H7" s="11">
        <f t="shared" ref="H7" si="0">(E7-D7)*24</f>
        <v>0</v>
      </c>
      <c r="I7" s="9"/>
    </row>
    <row r="8" spans="1:9" ht="24.9" customHeight="1" x14ac:dyDescent="0.45">
      <c r="A8" s="31"/>
      <c r="B8" s="13"/>
      <c r="C8" s="21"/>
      <c r="D8" s="19"/>
      <c r="E8" s="22"/>
      <c r="F8" s="34"/>
      <c r="G8" s="16"/>
      <c r="H8" s="26">
        <f>(E8-D8)*24</f>
        <v>0</v>
      </c>
    </row>
    <row r="9" spans="1:9" ht="24.9" customHeight="1" x14ac:dyDescent="0.45">
      <c r="A9" s="31"/>
      <c r="B9" s="13"/>
      <c r="C9" s="21"/>
      <c r="D9" s="19"/>
      <c r="E9" s="22"/>
      <c r="F9" s="34"/>
      <c r="G9" s="16"/>
      <c r="H9" s="26">
        <f t="shared" ref="H9:H72" si="1">(E9-D9)*24</f>
        <v>0</v>
      </c>
    </row>
    <row r="10" spans="1:9" ht="24.9" customHeight="1" x14ac:dyDescent="0.45">
      <c r="A10" s="31"/>
      <c r="B10" s="13"/>
      <c r="C10" s="21"/>
      <c r="D10" s="19"/>
      <c r="E10" s="22"/>
      <c r="F10" s="34"/>
      <c r="G10" s="16"/>
      <c r="H10" s="26">
        <f t="shared" si="1"/>
        <v>0</v>
      </c>
    </row>
    <row r="11" spans="1:9" ht="24.9" customHeight="1" x14ac:dyDescent="0.45">
      <c r="A11" s="31"/>
      <c r="B11" s="13"/>
      <c r="C11" s="21"/>
      <c r="D11" s="19"/>
      <c r="E11" s="22"/>
      <c r="F11" s="34"/>
      <c r="G11" s="16"/>
      <c r="H11" s="26">
        <f t="shared" si="1"/>
        <v>0</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0</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ab+0OUaRwtdRNuNehRIG09D6m3rwaYPwlXuzD5hzmAncHxofPoYXO1kHWIaG7vQ4fjCsHBdzMWewpvo2u9PYPA==" saltValue="T2XS4o1rjox7AYmhUbWHrg==" spinCount="100000" sheet="1" selectLockedCells="1"/>
  <mergeCells count="6">
    <mergeCell ref="B5:D5"/>
    <mergeCell ref="E2:G5"/>
    <mergeCell ref="A1:H1"/>
    <mergeCell ref="B2:D2"/>
    <mergeCell ref="B3:D3"/>
    <mergeCell ref="B4:D4"/>
  </mergeCells>
  <conditionalFormatting sqref="H7:H79">
    <cfRule type="cellIs" dxfId="1"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D784-1E0D-4E86-A01D-1FC00F00DC03}">
  <dimension ref="A1:I783"/>
  <sheetViews>
    <sheetView zoomScale="85" zoomScaleNormal="85" workbookViewId="0">
      <selection activeCell="E15" sqref="E15"/>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8" t="s">
        <v>19</v>
      </c>
      <c r="B1" s="39"/>
      <c r="C1" s="39"/>
      <c r="D1" s="39"/>
      <c r="E1" s="39"/>
      <c r="F1" s="39"/>
      <c r="G1" s="39"/>
      <c r="H1" s="40"/>
    </row>
    <row r="2" spans="1:9" ht="24.9" customHeight="1" x14ac:dyDescent="0.35">
      <c r="A2" s="36" t="s">
        <v>6</v>
      </c>
      <c r="B2" s="50"/>
      <c r="C2" s="51"/>
      <c r="D2" s="52"/>
      <c r="E2" s="44" t="s">
        <v>18</v>
      </c>
      <c r="F2" s="45"/>
      <c r="G2" s="45"/>
    </row>
    <row r="3" spans="1:9" ht="24.9" customHeight="1" x14ac:dyDescent="0.35">
      <c r="A3" s="36" t="s">
        <v>5</v>
      </c>
      <c r="B3" s="53"/>
      <c r="C3" s="54"/>
      <c r="D3" s="55"/>
      <c r="E3" s="46"/>
      <c r="F3" s="47"/>
      <c r="G3" s="47"/>
    </row>
    <row r="4" spans="1:9" ht="24.9" customHeight="1" thickBot="1" x14ac:dyDescent="0.4">
      <c r="A4" s="36" t="s">
        <v>4</v>
      </c>
      <c r="B4" s="56" t="s">
        <v>9</v>
      </c>
      <c r="C4" s="42"/>
      <c r="D4" s="43"/>
      <c r="E4" s="46"/>
      <c r="F4" s="47"/>
      <c r="G4" s="47"/>
    </row>
    <row r="5" spans="1:9" ht="59.4" customHeight="1" thickBot="1" x14ac:dyDescent="0.4">
      <c r="A5" s="37" t="s">
        <v>11</v>
      </c>
      <c r="B5" s="56" t="s">
        <v>12</v>
      </c>
      <c r="C5" s="42"/>
      <c r="D5" s="43"/>
      <c r="E5" s="48"/>
      <c r="F5" s="49"/>
      <c r="G5" s="49"/>
    </row>
    <row r="6" spans="1:9" s="1" customFormat="1" ht="24.9" customHeight="1" thickBot="1" x14ac:dyDescent="0.4">
      <c r="A6" s="3" t="s">
        <v>7</v>
      </c>
      <c r="B6" s="4" t="s">
        <v>0</v>
      </c>
      <c r="C6" s="5" t="s">
        <v>1</v>
      </c>
      <c r="D6" s="10" t="s">
        <v>2</v>
      </c>
      <c r="E6" s="8" t="s">
        <v>3</v>
      </c>
      <c r="F6" s="4" t="s">
        <v>7</v>
      </c>
      <c r="G6" s="6" t="s">
        <v>10</v>
      </c>
      <c r="H6" s="4" t="s">
        <v>8</v>
      </c>
    </row>
    <row r="7" spans="1:9" ht="24.9" customHeight="1" x14ac:dyDescent="0.35">
      <c r="A7" s="30"/>
      <c r="B7" s="12"/>
      <c r="C7" s="18"/>
      <c r="D7" s="19"/>
      <c r="E7" s="20"/>
      <c r="F7" s="33"/>
      <c r="G7" s="15"/>
      <c r="H7" s="11">
        <f t="shared" ref="H7" si="0">(E7-D7)*24</f>
        <v>0</v>
      </c>
      <c r="I7" s="9"/>
    </row>
    <row r="8" spans="1:9" ht="24.9" customHeight="1" x14ac:dyDescent="0.45">
      <c r="A8" s="31"/>
      <c r="B8" s="13"/>
      <c r="C8" s="21"/>
      <c r="D8" s="19"/>
      <c r="E8" s="22"/>
      <c r="F8" s="34"/>
      <c r="G8" s="16"/>
      <c r="H8" s="26">
        <f>(E8-D8)*24</f>
        <v>0</v>
      </c>
    </row>
    <row r="9" spans="1:9" ht="24.9" customHeight="1" x14ac:dyDescent="0.45">
      <c r="A9" s="31"/>
      <c r="B9" s="13"/>
      <c r="C9" s="21"/>
      <c r="D9" s="19"/>
      <c r="E9" s="22"/>
      <c r="F9" s="34"/>
      <c r="G9" s="16"/>
      <c r="H9" s="26">
        <f t="shared" ref="H9:H72" si="1">(E9-D9)*24</f>
        <v>0</v>
      </c>
    </row>
    <row r="10" spans="1:9" ht="24.9" customHeight="1" x14ac:dyDescent="0.45">
      <c r="A10" s="31"/>
      <c r="B10" s="13"/>
      <c r="C10" s="21"/>
      <c r="D10" s="19"/>
      <c r="E10" s="22"/>
      <c r="F10" s="34"/>
      <c r="G10" s="16"/>
      <c r="H10" s="26">
        <f t="shared" si="1"/>
        <v>0</v>
      </c>
    </row>
    <row r="11" spans="1:9" ht="24.9" customHeight="1" x14ac:dyDescent="0.45">
      <c r="A11" s="31"/>
      <c r="B11" s="13"/>
      <c r="C11" s="21"/>
      <c r="D11" s="19"/>
      <c r="E11" s="22"/>
      <c r="F11" s="34"/>
      <c r="G11" s="16"/>
      <c r="H11" s="26">
        <f t="shared" si="1"/>
        <v>0</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0</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LkjBDsoWsDhJGEFAOxgpq7KpgaDrmsyjOEV2s/qExOaHxbOEveB0A0qWeNdeZN/OmXc9NqPUDOsv0ZqgmlbEwQ==" saltValue="fgk9dvCYeYGi1vuh3qdVVQ==" spinCount="100000" sheet="1" selectLockedCells="1"/>
  <mergeCells count="6">
    <mergeCell ref="B5:D5"/>
    <mergeCell ref="E2:G5"/>
    <mergeCell ref="A1:H1"/>
    <mergeCell ref="B2:D2"/>
    <mergeCell ref="B3:D3"/>
    <mergeCell ref="B4:D4"/>
  </mergeCells>
  <conditionalFormatting sqref="H7:H79">
    <cfRule type="cellIs" dxfId="0" priority="1" operator="lessThan">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DP1.0</vt:lpstr>
      <vt:lpstr>DP1.1</vt:lpstr>
      <vt:lpstr>DP1.2</vt:lpstr>
      <vt:lpstr>DP2.0</vt:lpstr>
      <vt:lpstr>DP2.1</vt:lpstr>
      <vt:lpstr>FP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Log File</dc:title>
  <dc:creator>© Lakshman One</dc:creator>
  <cp:lastModifiedBy>Mike Nguyen</cp:lastModifiedBy>
  <dcterms:created xsi:type="dcterms:W3CDTF">2020-03-26T16:58:46Z</dcterms:created>
  <dcterms:modified xsi:type="dcterms:W3CDTF">2026-02-15T21:21:23Z</dcterms:modified>
</cp:coreProperties>
</file>